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latorio" sheetId="1" r:id="rId5"/>
  </sheets>
  <definedNames/>
  <calcPr/>
  <extLst>
    <ext uri="GoogleSheetsCustomDataVersion1">
      <go:sheetsCustomData xmlns:go="http://customooxmlschemas.google.com/" r:id="rId6" roundtripDataSignature="AMtx7miG7X4hPUC4Pir1G7NEZABYSRCK3Q=="/>
    </ext>
  </extLst>
</workbook>
</file>

<file path=xl/sharedStrings.xml><?xml version="1.0" encoding="utf-8"?>
<sst xmlns="http://schemas.openxmlformats.org/spreadsheetml/2006/main" count="32" uniqueCount="31">
  <si>
    <t>Projeto:</t>
  </si>
  <si>
    <t>Enertrack</t>
  </si>
  <si>
    <t>Data:</t>
  </si>
  <si>
    <t>Cliente:</t>
  </si>
  <si>
    <t>Silvio Dalmolin</t>
  </si>
  <si>
    <t>Responsável Cliente:</t>
  </si>
  <si>
    <t>Local:</t>
  </si>
  <si>
    <t>Control Engenharia</t>
  </si>
  <si>
    <t>Responsável Control:</t>
  </si>
  <si>
    <t>Rodrigo Espinoza</t>
  </si>
  <si>
    <t>V_1_4</t>
  </si>
  <si>
    <t>Turno:</t>
  </si>
  <si>
    <t>ADM</t>
  </si>
  <si>
    <t>Funcionário</t>
  </si>
  <si>
    <t>Função</t>
  </si>
  <si>
    <t>Recurso. Proj</t>
  </si>
  <si>
    <t>Atividade</t>
  </si>
  <si>
    <t>Entrada 1</t>
  </si>
  <si>
    <t>Saída 1</t>
  </si>
  <si>
    <t>Entrada 2</t>
  </si>
  <si>
    <t>Saída 2</t>
  </si>
  <si>
    <t>Entrada 3</t>
  </si>
  <si>
    <t>Saída 3</t>
  </si>
  <si>
    <t>Total</t>
  </si>
  <si>
    <t>Iago</t>
  </si>
  <si>
    <t>Estagiário</t>
  </si>
  <si>
    <t>Sensor</t>
  </si>
  <si>
    <t>Montagem de hardware para aquisição de tensão</t>
  </si>
  <si>
    <t>TOTAL</t>
  </si>
  <si>
    <t>Comentários /  Obervações</t>
  </si>
  <si>
    <t xml:space="preserve">***Descrição da Atividade Realizada, atribuir link do clickUp se tiver da atividade***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</si>
</sst>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hh:mm"/>
  </numFmts>
  <fonts count="10">
    <font>
      <sz val="11.0"/>
      <color theme="1"/>
      <name val="Arial"/>
    </font>
    <font>
      <sz val="11.0"/>
      <color rgb="FF000000"/>
      <name val="Arial"/>
    </font>
    <font>
      <sz val="11.0"/>
      <color rgb="FFFFFFFF"/>
      <name val="Arial"/>
    </font>
    <font>
      <sz val="10.0"/>
      <color theme="1"/>
      <name val="Arial"/>
    </font>
    <font>
      <b/>
      <sz val="10.0"/>
      <color theme="1"/>
      <name val="Arial"/>
    </font>
    <font>
      <b/>
      <sz val="7.0"/>
      <color theme="1"/>
      <name val="Arial"/>
    </font>
    <font>
      <b/>
      <sz val="8.0"/>
      <color theme="1"/>
      <name val="Arial"/>
    </font>
    <font>
      <sz val="10.0"/>
      <color rgb="FF000000"/>
      <name val="Arial"/>
    </font>
    <font/>
    <font>
      <b/>
      <sz val="11.0"/>
      <color theme="1"/>
      <name val="Arial"/>
    </font>
  </fonts>
  <fills count="5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</fills>
  <borders count="27">
    <border/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60">
    <xf borderId="0" fillId="0" fontId="0" numFmtId="0" xfId="0" applyAlignment="1" applyFont="1">
      <alignment readingOrder="0" shrinkToFit="0" vertical="bottom" wrapText="0"/>
    </xf>
    <xf borderId="0" fillId="0" fontId="0" numFmtId="0" xfId="0" applyFont="1"/>
    <xf borderId="0" fillId="0" fontId="1" numFmtId="14" xfId="0" applyAlignment="1" applyFont="1" applyNumberFormat="1">
      <alignment horizontal="center" readingOrder="0"/>
    </xf>
    <xf borderId="0" fillId="0" fontId="0" numFmtId="14" xfId="0" applyFont="1" applyNumberFormat="1"/>
    <xf borderId="0" fillId="0" fontId="1" numFmtId="0" xfId="0" applyFont="1"/>
    <xf borderId="0" fillId="2" fontId="1" numFmtId="0" xfId="0" applyAlignment="1" applyFill="1" applyFont="1">
      <alignment horizontal="left"/>
    </xf>
    <xf borderId="0" fillId="0" fontId="2" numFmtId="0" xfId="0" applyFont="1"/>
    <xf borderId="0" fillId="0" fontId="3" numFmtId="0" xfId="0" applyFont="1"/>
    <xf borderId="1" fillId="3" fontId="4" numFmtId="0" xfId="0" applyAlignment="1" applyBorder="1" applyFill="1" applyFont="1">
      <alignment horizontal="center"/>
    </xf>
    <xf borderId="2" fillId="3" fontId="4" numFmtId="0" xfId="0" applyAlignment="1" applyBorder="1" applyFont="1">
      <alignment horizontal="center"/>
    </xf>
    <xf borderId="2" fillId="3" fontId="5" numFmtId="0" xfId="0" applyAlignment="1" applyBorder="1" applyFont="1">
      <alignment horizontal="center"/>
    </xf>
    <xf borderId="3" fillId="3" fontId="6" numFmtId="0" xfId="0" applyAlignment="1" applyBorder="1" applyFont="1">
      <alignment horizontal="center"/>
    </xf>
    <xf borderId="0" fillId="0" fontId="3" numFmtId="14" xfId="0" applyFont="1" applyNumberFormat="1"/>
    <xf borderId="4" fillId="4" fontId="7" numFmtId="0" xfId="0" applyAlignment="1" applyBorder="1" applyFill="1" applyFont="1">
      <alignment horizontal="center" readingOrder="0" shrinkToFit="0" vertical="center" wrapText="1"/>
    </xf>
    <xf borderId="5" fillId="4" fontId="7" numFmtId="0" xfId="0" applyAlignment="1" applyBorder="1" applyFont="1">
      <alignment horizontal="center" readingOrder="0" vertical="center"/>
    </xf>
    <xf borderId="6" fillId="0" fontId="7" numFmtId="0" xfId="0" applyAlignment="1" applyBorder="1" applyFont="1">
      <alignment horizontal="center" readingOrder="0" vertical="center"/>
    </xf>
    <xf borderId="7" fillId="0" fontId="7" numFmtId="20" xfId="0" applyAlignment="1" applyBorder="1" applyFont="1" applyNumberFormat="1">
      <alignment horizontal="center" readingOrder="0" vertical="center"/>
    </xf>
    <xf borderId="6" fillId="0" fontId="7" numFmtId="20" xfId="0" applyAlignment="1" applyBorder="1" applyFont="1" applyNumberFormat="1">
      <alignment horizontal="center" readingOrder="0" vertical="center"/>
    </xf>
    <xf borderId="8" fillId="0" fontId="7" numFmtId="20" xfId="0" applyAlignment="1" applyBorder="1" applyFont="1" applyNumberFormat="1">
      <alignment horizontal="center" readingOrder="0" vertical="center"/>
    </xf>
    <xf borderId="8" fillId="0" fontId="3" numFmtId="20" xfId="0" applyAlignment="1" applyBorder="1" applyFont="1" applyNumberFormat="1">
      <alignment horizontal="center" vertical="center"/>
    </xf>
    <xf borderId="9" fillId="4" fontId="3" numFmtId="164" xfId="0" applyAlignment="1" applyBorder="1" applyFont="1" applyNumberFormat="1">
      <alignment horizontal="center" vertical="center"/>
    </xf>
    <xf borderId="4" fillId="4" fontId="3" numFmtId="0" xfId="0" applyAlignment="1" applyBorder="1" applyFont="1">
      <alignment horizontal="center" shrinkToFit="0" vertical="center" wrapText="1"/>
    </xf>
    <xf borderId="5" fillId="4" fontId="3" numFmtId="0" xfId="0" applyAlignment="1" applyBorder="1" applyFont="1">
      <alignment horizontal="center" vertical="center"/>
    </xf>
    <xf borderId="6" fillId="0" fontId="3" numFmtId="0" xfId="0" applyAlignment="1" applyBorder="1" applyFont="1">
      <alignment horizontal="center" vertical="center"/>
    </xf>
    <xf borderId="7" fillId="0" fontId="3" numFmtId="20" xfId="0" applyAlignment="1" applyBorder="1" applyFont="1" applyNumberFormat="1">
      <alignment horizontal="center" vertical="center"/>
    </xf>
    <xf borderId="6" fillId="0" fontId="3" numFmtId="20" xfId="0" applyAlignment="1" applyBorder="1" applyFont="1" applyNumberFormat="1">
      <alignment horizontal="center" vertical="center"/>
    </xf>
    <xf borderId="8" fillId="4" fontId="3" numFmtId="164" xfId="0" applyAlignment="1" applyBorder="1" applyFont="1" applyNumberFormat="1">
      <alignment horizontal="center" vertical="center"/>
    </xf>
    <xf borderId="4" fillId="4" fontId="7" numFmtId="0" xfId="0" applyAlignment="1" applyBorder="1" applyFont="1">
      <alignment horizontal="center" shrinkToFit="0" vertical="center" wrapText="1"/>
    </xf>
    <xf borderId="8" fillId="4" fontId="7" numFmtId="0" xfId="0" applyAlignment="1" applyBorder="1" applyFont="1">
      <alignment horizontal="center" vertical="center"/>
    </xf>
    <xf borderId="5" fillId="4" fontId="7" numFmtId="0" xfId="0" applyAlignment="1" applyBorder="1" applyFont="1">
      <alignment horizontal="center" vertical="center"/>
    </xf>
    <xf borderId="6" fillId="0" fontId="7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vertical="center"/>
    </xf>
    <xf borderId="6" fillId="0" fontId="7" numFmtId="20" xfId="0" applyAlignment="1" applyBorder="1" applyFont="1" applyNumberFormat="1">
      <alignment horizontal="center" vertical="center"/>
    </xf>
    <xf borderId="8" fillId="0" fontId="7" numFmtId="20" xfId="0" applyAlignment="1" applyBorder="1" applyFont="1" applyNumberFormat="1">
      <alignment horizontal="center" vertical="center"/>
    </xf>
    <xf borderId="10" fillId="4" fontId="3" numFmtId="164" xfId="0" applyAlignment="1" applyBorder="1" applyFont="1" applyNumberFormat="1">
      <alignment horizontal="center" vertical="center"/>
    </xf>
    <xf borderId="8" fillId="0" fontId="0" numFmtId="0" xfId="0" applyBorder="1" applyFont="1"/>
    <xf borderId="8" fillId="0" fontId="3" numFmtId="164" xfId="0" applyAlignment="1" applyBorder="1" applyFont="1" applyNumberFormat="1">
      <alignment horizontal="center"/>
    </xf>
    <xf borderId="8" fillId="0" fontId="3" numFmtId="0" xfId="0" applyAlignment="1" applyBorder="1" applyFont="1">
      <alignment horizontal="center" vertical="center"/>
    </xf>
    <xf borderId="11" fillId="4" fontId="3" numFmtId="0" xfId="0" applyAlignment="1" applyBorder="1" applyFont="1">
      <alignment horizontal="center" shrinkToFit="0" vertical="center" wrapText="1"/>
    </xf>
    <xf borderId="8" fillId="4" fontId="3" numFmtId="0" xfId="0" applyAlignment="1" applyBorder="1" applyFont="1">
      <alignment horizontal="center" vertical="center"/>
    </xf>
    <xf borderId="12" fillId="4" fontId="3" numFmtId="0" xfId="0" applyAlignment="1" applyBorder="1" applyFont="1">
      <alignment horizontal="center" shrinkToFit="0" vertical="center" wrapText="1"/>
    </xf>
    <xf borderId="13" fillId="4" fontId="3" numFmtId="0" xfId="0" applyAlignment="1" applyBorder="1" applyFont="1">
      <alignment horizontal="center" vertical="center"/>
    </xf>
    <xf borderId="13" fillId="0" fontId="3" numFmtId="0" xfId="0" applyAlignment="1" applyBorder="1" applyFont="1">
      <alignment horizontal="center" vertical="center"/>
    </xf>
    <xf borderId="13" fillId="0" fontId="3" numFmtId="20" xfId="0" applyAlignment="1" applyBorder="1" applyFont="1" applyNumberFormat="1">
      <alignment horizontal="center" vertical="center"/>
    </xf>
    <xf borderId="14" fillId="4" fontId="3" numFmtId="164" xfId="0" applyAlignment="1" applyBorder="1" applyFont="1" applyNumberFormat="1">
      <alignment horizontal="center" vertical="center"/>
    </xf>
    <xf borderId="15" fillId="0" fontId="4" numFmtId="0" xfId="0" applyAlignment="1" applyBorder="1" applyFont="1">
      <alignment horizontal="center" vertical="center"/>
    </xf>
    <xf borderId="16" fillId="0" fontId="8" numFmtId="0" xfId="0" applyBorder="1" applyFont="1"/>
    <xf borderId="17" fillId="0" fontId="8" numFmtId="0" xfId="0" applyBorder="1" applyFont="1"/>
    <xf borderId="18" fillId="4" fontId="9" numFmtId="164" xfId="0" applyAlignment="1" applyBorder="1" applyFont="1" applyNumberFormat="1">
      <alignment horizontal="center" vertical="center"/>
    </xf>
    <xf borderId="0" fillId="0" fontId="9" numFmtId="0" xfId="0" applyFont="1"/>
    <xf borderId="15" fillId="3" fontId="9" numFmtId="0" xfId="0" applyAlignment="1" applyBorder="1" applyFont="1">
      <alignment horizontal="center"/>
    </xf>
    <xf borderId="0" fillId="0" fontId="0" numFmtId="0" xfId="0" applyAlignment="1" applyFont="1">
      <alignment shrinkToFit="0" vertical="top" wrapText="1"/>
    </xf>
    <xf quotePrefix="1" borderId="19" fillId="0" fontId="0" numFmtId="49" xfId="0" applyAlignment="1" applyBorder="1" applyFont="1" applyNumberFormat="1">
      <alignment horizontal="left" shrinkToFit="0" vertical="top" wrapText="1"/>
    </xf>
    <xf borderId="20" fillId="0" fontId="8" numFmtId="0" xfId="0" applyBorder="1" applyFont="1"/>
    <xf borderId="21" fillId="0" fontId="8" numFmtId="0" xfId="0" applyBorder="1" applyFont="1"/>
    <xf borderId="22" fillId="0" fontId="8" numFmtId="0" xfId="0" applyBorder="1" applyFont="1"/>
    <xf borderId="23" fillId="0" fontId="8" numFmtId="0" xfId="0" applyBorder="1" applyFont="1"/>
    <xf borderId="24" fillId="0" fontId="8" numFmtId="0" xfId="0" applyBorder="1" applyFont="1"/>
    <xf borderId="25" fillId="0" fontId="8" numFmtId="0" xfId="0" applyBorder="1" applyFont="1"/>
    <xf borderId="26" fillId="0" fontId="8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0.5"/>
    <col customWidth="1" min="2" max="2" width="17.13"/>
    <col customWidth="1" min="3" max="3" width="13.38"/>
    <col customWidth="1" min="4" max="4" width="12.88"/>
    <col customWidth="1" min="5" max="5" width="99.25"/>
    <col customWidth="1" min="6" max="11" width="5.75"/>
    <col customWidth="1" min="12" max="12" width="5.63"/>
    <col customWidth="1" min="13" max="26" width="7.75"/>
  </cols>
  <sheetData>
    <row r="1" ht="14.25" customHeight="1">
      <c r="A1" s="1"/>
      <c r="B1" s="1"/>
      <c r="C1" s="1"/>
      <c r="D1" s="1" t="s">
        <v>0</v>
      </c>
      <c r="E1" s="1" t="s">
        <v>1</v>
      </c>
      <c r="F1" s="1" t="s">
        <v>2</v>
      </c>
      <c r="G1" s="2">
        <v>44029.0</v>
      </c>
      <c r="I1" s="3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 t="s">
        <v>3</v>
      </c>
      <c r="E2" s="4" t="s">
        <v>4</v>
      </c>
      <c r="F2" s="1" t="s">
        <v>5</v>
      </c>
      <c r="G2" s="1"/>
      <c r="H2" s="1"/>
      <c r="I2" s="1"/>
      <c r="J2" s="5" t="s">
        <v>4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 t="s">
        <v>6</v>
      </c>
      <c r="E3" s="1" t="s">
        <v>7</v>
      </c>
      <c r="F3" s="1" t="s">
        <v>8</v>
      </c>
      <c r="G3" s="1"/>
      <c r="H3" s="1"/>
      <c r="I3" s="1"/>
      <c r="J3" s="1" t="s">
        <v>9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1"/>
      <c r="B4" s="6" t="s">
        <v>10</v>
      </c>
      <c r="C4" s="1"/>
      <c r="D4" s="1" t="s">
        <v>11</v>
      </c>
      <c r="E4" s="1" t="s">
        <v>12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4.25" customHeight="1">
      <c r="A5" s="7"/>
      <c r="B5" s="8" t="s">
        <v>13</v>
      </c>
      <c r="C5" s="9" t="s">
        <v>14</v>
      </c>
      <c r="D5" s="9" t="s">
        <v>15</v>
      </c>
      <c r="E5" s="9" t="s">
        <v>16</v>
      </c>
      <c r="F5" s="10" t="s">
        <v>17</v>
      </c>
      <c r="G5" s="10" t="s">
        <v>18</v>
      </c>
      <c r="H5" s="10" t="s">
        <v>19</v>
      </c>
      <c r="I5" s="10" t="s">
        <v>20</v>
      </c>
      <c r="J5" s="10" t="s">
        <v>21</v>
      </c>
      <c r="K5" s="10" t="s">
        <v>22</v>
      </c>
      <c r="L5" s="11" t="s">
        <v>23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2">
        <f>$G$1</f>
        <v>44029</v>
      </c>
      <c r="B6" s="13" t="s">
        <v>24</v>
      </c>
      <c r="C6" s="14" t="s">
        <v>25</v>
      </c>
      <c r="D6" s="14" t="s">
        <v>26</v>
      </c>
      <c r="E6" s="15" t="s">
        <v>27</v>
      </c>
      <c r="F6" s="16">
        <v>0.39652777777777776</v>
      </c>
      <c r="G6" s="17">
        <v>0.5020833333333333</v>
      </c>
      <c r="H6" s="17">
        <v>0.54375</v>
      </c>
      <c r="I6" s="18">
        <v>0.6881944444444444</v>
      </c>
      <c r="J6" s="19"/>
      <c r="K6" s="19"/>
      <c r="L6" s="20">
        <f t="shared" ref="L6:L16" si="1">HOUR(((G6-F6)+(I6-H6)+(K6-J6))) + MINUTE(((G6-F6)+(I6-H6)+(K6-J6))) / 60 + SECOND(((G6-F6)+(I6-H6)+(K6-J6))) / 3600</f>
        <v>6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12"/>
      <c r="B7" s="21"/>
      <c r="C7" s="22"/>
      <c r="D7" s="22"/>
      <c r="E7" s="23"/>
      <c r="F7" s="24"/>
      <c r="G7" s="25"/>
      <c r="H7" s="25"/>
      <c r="I7" s="19"/>
      <c r="J7" s="19"/>
      <c r="K7" s="19"/>
      <c r="L7" s="26">
        <f t="shared" si="1"/>
        <v>0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12">
        <f t="shared" ref="A8:A9" si="2">$G$1</f>
        <v>44029</v>
      </c>
      <c r="B8" s="27"/>
      <c r="C8" s="28"/>
      <c r="D8" s="29"/>
      <c r="E8" s="30"/>
      <c r="F8" s="31"/>
      <c r="G8" s="32"/>
      <c r="H8" s="32"/>
      <c r="I8" s="33"/>
      <c r="J8" s="19"/>
      <c r="K8" s="19"/>
      <c r="L8" s="20">
        <f t="shared" si="1"/>
        <v>0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2">
        <f t="shared" si="2"/>
        <v>44029</v>
      </c>
      <c r="B9" s="21"/>
      <c r="C9" s="22"/>
      <c r="D9" s="22"/>
      <c r="E9" s="23"/>
      <c r="F9" s="24"/>
      <c r="G9" s="25"/>
      <c r="H9" s="25"/>
      <c r="I9" s="19"/>
      <c r="J9" s="24"/>
      <c r="K9" s="24"/>
      <c r="L9" s="34">
        <f t="shared" si="1"/>
        <v>0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"/>
      <c r="B10" s="21"/>
      <c r="C10" s="22"/>
      <c r="D10" s="22"/>
      <c r="E10" s="23"/>
      <c r="F10" s="24"/>
      <c r="G10" s="25"/>
      <c r="H10" s="25"/>
      <c r="I10" s="24"/>
      <c r="J10" s="35"/>
      <c r="K10" s="35"/>
      <c r="L10" s="36">
        <f t="shared" si="1"/>
        <v>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12"/>
      <c r="B11" s="21"/>
      <c r="C11" s="22"/>
      <c r="D11" s="22"/>
      <c r="E11" s="37"/>
      <c r="F11" s="24"/>
      <c r="G11" s="25"/>
      <c r="H11" s="25"/>
      <c r="I11" s="24"/>
      <c r="J11" s="19"/>
      <c r="K11" s="19"/>
      <c r="L11" s="20">
        <f t="shared" si="1"/>
        <v>0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2">
        <f t="shared" ref="A12:A16" si="3">$G$1</f>
        <v>44029</v>
      </c>
      <c r="B12" s="38"/>
      <c r="C12" s="39"/>
      <c r="D12" s="39"/>
      <c r="E12" s="37"/>
      <c r="F12" s="19"/>
      <c r="G12" s="19"/>
      <c r="H12" s="19"/>
      <c r="I12" s="19"/>
      <c r="J12" s="19"/>
      <c r="K12" s="19"/>
      <c r="L12" s="20">
        <f t="shared" si="1"/>
        <v>0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2">
        <f t="shared" si="3"/>
        <v>44029</v>
      </c>
      <c r="B13" s="38"/>
      <c r="C13" s="39"/>
      <c r="D13" s="39"/>
      <c r="E13" s="37"/>
      <c r="F13" s="19"/>
      <c r="G13" s="19"/>
      <c r="H13" s="19"/>
      <c r="I13" s="19"/>
      <c r="J13" s="19"/>
      <c r="K13" s="19"/>
      <c r="L13" s="20">
        <f t="shared" si="1"/>
        <v>0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2">
        <f t="shared" si="3"/>
        <v>44029</v>
      </c>
      <c r="B14" s="38"/>
      <c r="C14" s="39"/>
      <c r="D14" s="39"/>
      <c r="E14" s="37"/>
      <c r="F14" s="19"/>
      <c r="G14" s="19"/>
      <c r="H14" s="19"/>
      <c r="I14" s="19"/>
      <c r="J14" s="19"/>
      <c r="K14" s="19"/>
      <c r="L14" s="20">
        <f t="shared" si="1"/>
        <v>0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2">
        <f t="shared" si="3"/>
        <v>44029</v>
      </c>
      <c r="B15" s="38"/>
      <c r="C15" s="39"/>
      <c r="D15" s="39"/>
      <c r="E15" s="37"/>
      <c r="F15" s="19"/>
      <c r="G15" s="19"/>
      <c r="H15" s="19"/>
      <c r="I15" s="19"/>
      <c r="J15" s="19"/>
      <c r="K15" s="19"/>
      <c r="L15" s="20">
        <f t="shared" si="1"/>
        <v>0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2">
        <f t="shared" si="3"/>
        <v>44029</v>
      </c>
      <c r="B16" s="40"/>
      <c r="C16" s="41"/>
      <c r="D16" s="41"/>
      <c r="E16" s="42"/>
      <c r="F16" s="43"/>
      <c r="G16" s="43"/>
      <c r="H16" s="43"/>
      <c r="I16" s="43"/>
      <c r="J16" s="43"/>
      <c r="K16" s="43"/>
      <c r="L16" s="44">
        <f t="shared" si="1"/>
        <v>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"/>
      <c r="B19" s="45" t="s">
        <v>28</v>
      </c>
      <c r="C19" s="46"/>
      <c r="D19" s="46"/>
      <c r="E19" s="46"/>
      <c r="F19" s="46"/>
      <c r="G19" s="46"/>
      <c r="H19" s="46"/>
      <c r="I19" s="46"/>
      <c r="J19" s="46"/>
      <c r="K19" s="47"/>
      <c r="L19" s="48">
        <f>SUM(L6:L16)</f>
        <v>6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0" customHeight="1">
      <c r="A21" s="49"/>
      <c r="B21" s="50" t="s">
        <v>29</v>
      </c>
      <c r="C21" s="46"/>
      <c r="D21" s="46"/>
      <c r="E21" s="46"/>
      <c r="F21" s="46"/>
      <c r="G21" s="46"/>
      <c r="H21" s="46"/>
      <c r="I21" s="46"/>
      <c r="J21" s="46"/>
      <c r="K21" s="46"/>
      <c r="L21" s="4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51"/>
      <c r="B22" s="52" t="s">
        <v>30</v>
      </c>
      <c r="C22" s="53"/>
      <c r="D22" s="53"/>
      <c r="E22" s="53"/>
      <c r="F22" s="53"/>
      <c r="G22" s="53"/>
      <c r="H22" s="53"/>
      <c r="I22" s="53"/>
      <c r="J22" s="53"/>
      <c r="K22" s="53"/>
      <c r="L22" s="54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51"/>
      <c r="B23" s="55"/>
      <c r="L23" s="56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51"/>
      <c r="B24" s="55"/>
      <c r="L24" s="56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51"/>
      <c r="B25" s="55"/>
      <c r="L25" s="56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51"/>
      <c r="B26" s="55"/>
      <c r="L26" s="56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51"/>
      <c r="B27" s="55"/>
      <c r="L27" s="56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21.75" customHeight="1">
      <c r="A28" s="51"/>
      <c r="B28" s="55"/>
      <c r="L28" s="56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51"/>
      <c r="B29" s="55"/>
      <c r="L29" s="56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51"/>
      <c r="B30" s="55"/>
      <c r="L30" s="56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51"/>
      <c r="B31" s="55"/>
      <c r="L31" s="56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51"/>
      <c r="B32" s="55"/>
      <c r="L32" s="56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51"/>
      <c r="B33" s="55"/>
      <c r="L33" s="56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51"/>
      <c r="B34" s="55"/>
      <c r="L34" s="56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51"/>
      <c r="B35" s="55"/>
      <c r="L35" s="5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51"/>
      <c r="B36" s="55"/>
      <c r="L36" s="56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51"/>
      <c r="B37" s="55"/>
      <c r="L37" s="56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51"/>
      <c r="B38" s="55"/>
      <c r="L38" s="56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51"/>
      <c r="B39" s="55"/>
      <c r="L39" s="56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51"/>
      <c r="B40" s="55"/>
      <c r="L40" s="56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51"/>
      <c r="B41" s="55"/>
      <c r="L41" s="56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51"/>
      <c r="B42" s="55"/>
      <c r="L42" s="56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51"/>
      <c r="B43" s="55"/>
      <c r="L43" s="5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51"/>
      <c r="B44" s="55"/>
      <c r="L44" s="5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51"/>
      <c r="B45" s="55"/>
      <c r="L45" s="5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51"/>
      <c r="B46" s="55"/>
      <c r="L46" s="5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51"/>
      <c r="B47" s="55"/>
      <c r="L47" s="5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51"/>
      <c r="B48" s="55"/>
      <c r="L48" s="5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51"/>
      <c r="B49" s="55"/>
      <c r="L49" s="5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51"/>
      <c r="B50" s="55"/>
      <c r="L50" s="5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51"/>
      <c r="B51" s="55"/>
      <c r="L51" s="5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51"/>
      <c r="B52" s="55"/>
      <c r="L52" s="56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51"/>
      <c r="B53" s="55"/>
      <c r="L53" s="56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51"/>
      <c r="B54" s="55"/>
      <c r="L54" s="56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51"/>
      <c r="B55" s="55"/>
      <c r="L55" s="56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51"/>
      <c r="B56" s="55"/>
      <c r="L56" s="56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51"/>
      <c r="B57" s="55"/>
      <c r="L57" s="56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51"/>
      <c r="B58" s="55"/>
      <c r="L58" s="56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51"/>
      <c r="B59" s="55"/>
      <c r="L59" s="56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51"/>
      <c r="B60" s="55"/>
      <c r="L60" s="56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51"/>
      <c r="B61" s="55"/>
      <c r="L61" s="56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51"/>
      <c r="B62" s="55"/>
      <c r="L62" s="56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51"/>
      <c r="B63" s="55"/>
      <c r="L63" s="56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51"/>
      <c r="B64" s="57"/>
      <c r="C64" s="58"/>
      <c r="D64" s="58"/>
      <c r="E64" s="58"/>
      <c r="F64" s="58"/>
      <c r="G64" s="58"/>
      <c r="H64" s="58"/>
      <c r="I64" s="58"/>
      <c r="J64" s="58"/>
      <c r="K64" s="58"/>
      <c r="L64" s="5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51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51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51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51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51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51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51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51"/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51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51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51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51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51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G1:H1"/>
    <mergeCell ref="B19:K19"/>
    <mergeCell ref="B21:L21"/>
    <mergeCell ref="B22:L64"/>
  </mergeCells>
  <printOptions/>
  <pageMargins bottom="0.75" footer="0.0" header="0.0" left="0.25" right="0.25" top="0.75"/>
  <pageSetup paperSize="9" orientation="landscape"/>
  <headerFooter>
    <oddHeader>&amp;CRelatório de Atividades - Control Engenharia</oddHeader>
    <oddFooter>&amp;LV1.3&amp;CControl Engenharia 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2019-02-15T12:43:12Z</dcterms:created>
  <dc:creator>Rodrigo Espinoza</dc:creator>
</cp:coreProperties>
</file>